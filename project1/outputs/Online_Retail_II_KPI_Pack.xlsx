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 firstSheet="2" activeTab="3"/>
  </bookViews>
  <sheets>
    <sheet name="KPI Summary" sheetId="1" r:id="rId1"/>
    <sheet name="Repeat Rate" sheetId="2" r:id="rId2"/>
    <sheet name="Top Products " sheetId="3" r:id="rId3"/>
    <sheet name="Monthly Tren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<sst xmlns="http://schemas.openxmlformats.org/spreadsheetml/2006/main" count="71" uniqueCount="67">
  <si>
    <t>KPI Summary</t>
  </si>
  <si>
    <t>net_sales_proxy</t>
  </si>
  <si>
    <t>total_orders</t>
  </si>
  <si>
    <t>average_order_value</t>
  </si>
  <si>
    <t>transaction_lines</t>
  </si>
  <si>
    <t>Definitions:</t>
  </si>
  <si>
    <t>sum of Quantity*Price after the cancellation-invoice filter</t>
  </si>
  <si>
    <t>distinct invoice count after the same filter.</t>
  </si>
  <si>
    <t>net sales proxy divided by total orders.</t>
  </si>
  <si>
    <t>repeat_customer_rate</t>
  </si>
  <si>
    <t>identifiable customers with at least two orders divided by all identifiable customers.</t>
  </si>
  <si>
    <t>Repeat Rate</t>
  </si>
  <si>
    <t>identifiable_customers</t>
  </si>
  <si>
    <t>repeat_customers</t>
  </si>
  <si>
    <t>repeat_customer_rate_percent</t>
  </si>
  <si>
    <t>NOTE:</t>
  </si>
  <si>
    <t>Customers without a valid customer ID are excluded because their repeat-purchase history cannot be reliably identified.</t>
  </si>
  <si>
    <t>Top 10 Products by Net Sales Proxy</t>
  </si>
  <si>
    <t>StockCode</t>
  </si>
  <si>
    <t>product_description</t>
  </si>
  <si>
    <t>net_quantity</t>
  </si>
  <si>
    <t>wonky bottom/broken</t>
  </si>
  <si>
    <t>M</t>
  </si>
  <si>
    <t>Manual</t>
  </si>
  <si>
    <t>DOT</t>
  </si>
  <si>
    <t>DOTCOM POSTAGE</t>
  </si>
  <si>
    <t>85123A</t>
  </si>
  <si>
    <t>wrongly marked carton 22804</t>
  </si>
  <si>
    <t>85099B</t>
  </si>
  <si>
    <t>missing</t>
  </si>
  <si>
    <t>PAPER CRAFT , LITTLE BIRDIE</t>
  </si>
  <si>
    <t>PARTY BUNTING</t>
  </si>
  <si>
    <t>damaged</t>
  </si>
  <si>
    <t>POST</t>
  </si>
  <si>
    <t>POSTAGE</t>
  </si>
  <si>
    <t>PAPER CHAIN KIT 50'S CHRISTMAS</t>
  </si>
  <si>
    <t>Monthly Trends Analysis</t>
  </si>
  <si>
    <t>order_month</t>
  </si>
  <si>
    <t>monthly_sales</t>
  </si>
  <si>
    <t>previous_month_sales</t>
  </si>
  <si>
    <t>sales_change</t>
  </si>
  <si>
    <t>mom_growth_percent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</si>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</sst>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4">
    <font>
      <sz val="11"/>
      <color theme="1"/>
      <name val="Calibri"/>
      <charset val="134"/>
      <scheme val="minor"/>
    </font>
    <font>
      <b/>
      <sz val="16"/>
      <color theme="5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42424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178" fontId="0" fillId="0" borderId="0" xfId="0" applyNumberFormat="1"/>
    <xf numFmtId="0" fontId="0" fillId="0" borderId="0" xfId="0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Net Sales Proxy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 '!$C$3</c:f>
              <c:strCache>
                <c:ptCount val="1"/>
                <c:pt idx="0">
                  <c:v>net_sales_proxy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Products '!$A$4:$A$13</c:f>
              <c:strCache>
                <c:ptCount val="10"/>
                <c:pt idx="0">
                  <c:v>22423</c:v>
                </c:pt>
                <c:pt idx="1">
                  <c:v>M</c:v>
                </c:pt>
                <c:pt idx="2">
                  <c:v>DOT</c:v>
                </c:pt>
                <c:pt idx="3">
                  <c:v>85123A</c:v>
                </c:pt>
                <c:pt idx="4">
                  <c:v>85099B</c:v>
                </c:pt>
                <c:pt idx="5">
                  <c:v>23843</c:v>
                </c:pt>
                <c:pt idx="6">
                  <c:v>47566</c:v>
                </c:pt>
                <c:pt idx="7">
                  <c:v>84879</c:v>
                </c:pt>
                <c:pt idx="8">
                  <c:v>POST</c:v>
                </c:pt>
                <c:pt idx="9">
                  <c:v>22086</c:v>
                </c:pt>
              </c:strCache>
            </c:strRef>
          </c:cat>
          <c:val>
            <c:numRef>
              <c:f>'Top Products '!$C$4:$C$13</c:f>
              <c:numCache>
                <c:formatCode>0.00</c:formatCode>
                <c:ptCount val="10"/>
                <c:pt idx="0">
                  <c:v>344563.25</c:v>
                </c:pt>
                <c:pt idx="1">
                  <c:v>340716.28</c:v>
                </c:pt>
                <c:pt idx="2">
                  <c:v>322657.48</c:v>
                </c:pt>
                <c:pt idx="3">
                  <c:v>263109.67</c:v>
                </c:pt>
                <c:pt idx="4">
                  <c:v>183454.83</c:v>
                </c:pt>
                <c:pt idx="5">
                  <c:v>168469.6</c:v>
                </c:pt>
                <c:pt idx="6">
                  <c:v>149187.05</c:v>
                </c:pt>
                <c:pt idx="7">
                  <c:v>132187.92</c:v>
                </c:pt>
                <c:pt idx="8">
                  <c:v>127597.42</c:v>
                </c:pt>
                <c:pt idx="9">
                  <c:v>123141.54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1871751"/>
        <c:axId val="851890695"/>
      </c:barChart>
      <c:catAx>
        <c:axId val="85187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890695"/>
        <c:crosses val="autoZero"/>
        <c:auto val="1"/>
        <c:lblAlgn val="ctr"/>
        <c:lblOffset val="100"/>
        <c:noMultiLvlLbl val="0"/>
      </c:catAx>
      <c:valAx>
        <c:axId val="851890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87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278fe4-105d-46e6-bd2d-c2a689a88b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Sales Proxy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Trends'!$A$4:$A$28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'Monthly Trends'!$B$4:$B$28</c:f>
              <c:numCache>
                <c:formatCode>0.00</c:formatCode>
                <c:ptCount val="25"/>
                <c:pt idx="0">
                  <c:v>825685.76</c:v>
                </c:pt>
                <c:pt idx="1">
                  <c:v>652708.5</c:v>
                </c:pt>
                <c:pt idx="2">
                  <c:v>553339.74</c:v>
                </c:pt>
                <c:pt idx="3">
                  <c:v>833570.13</c:v>
                </c:pt>
                <c:pt idx="4">
                  <c:v>627934.63</c:v>
                </c:pt>
                <c:pt idx="5">
                  <c:v>659858.86</c:v>
                </c:pt>
                <c:pt idx="6">
                  <c:v>752270.14</c:v>
                </c:pt>
                <c:pt idx="7">
                  <c:v>606681.15</c:v>
                </c:pt>
                <c:pt idx="8">
                  <c:v>697274.91</c:v>
                </c:pt>
                <c:pt idx="9">
                  <c:v>924333.01</c:v>
                </c:pt>
                <c:pt idx="10">
                  <c:v>1126558.04</c:v>
                </c:pt>
                <c:pt idx="11">
                  <c:v>1470272.48</c:v>
                </c:pt>
                <c:pt idx="12">
                  <c:v>1262598.79</c:v>
                </c:pt>
                <c:pt idx="13">
                  <c:v>691364.56</c:v>
                </c:pt>
                <c:pt idx="14">
                  <c:v>523631.89</c:v>
                </c:pt>
                <c:pt idx="15">
                  <c:v>717639.36</c:v>
                </c:pt>
                <c:pt idx="16">
                  <c:v>537808.62</c:v>
                </c:pt>
                <c:pt idx="17">
                  <c:v>770536.02</c:v>
                </c:pt>
                <c:pt idx="18">
                  <c:v>761739.9</c:v>
                </c:pt>
                <c:pt idx="19">
                  <c:v>719221.19</c:v>
                </c:pt>
                <c:pt idx="20">
                  <c:v>737014.26</c:v>
                </c:pt>
                <c:pt idx="21">
                  <c:v>1058590.17</c:v>
                </c:pt>
                <c:pt idx="22">
                  <c:v>1154979.3</c:v>
                </c:pt>
                <c:pt idx="23">
                  <c:v>1509496.33</c:v>
                </c:pt>
                <c:pt idx="24">
                  <c:v>638810.68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45040391"/>
        <c:axId val="92874248"/>
      </c:lineChart>
      <c:catAx>
        <c:axId val="1145040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74248"/>
        <c:crosses val="autoZero"/>
        <c:auto val="1"/>
        <c:lblAlgn val="ctr"/>
        <c:lblOffset val="100"/>
        <c:noMultiLvlLbl val="0"/>
      </c:catAx>
      <c:valAx>
        <c:axId val="9287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504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8410ba-7449-48a0-b9c9-9dccc289e8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219075</xdr:colOff>
      <xdr:row>1</xdr:row>
      <xdr:rowOff>95250</xdr:rowOff>
    </xdr:from>
    <xdr:to>
      <xdr:col>13</xdr:col>
      <xdr:colOff>409575</xdr:colOff>
      <xdr:row>17</xdr:row>
      <xdr:rowOff>38100</xdr:rowOff>
    </xdr:to>
    <xdr:graphicFrame>
      <xdr:nvGraphicFramePr>
        <xdr:cNvPr id="2" name="Chart 1"/>
        <xdr:cNvGraphicFramePr/>
      </xdr:nvGraphicFramePr>
      <xdr:xfrm>
        <a:off x="5946140" y="279400"/>
        <a:ext cx="5219700" cy="2889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</xdr:row>
      <xdr:rowOff>168910</xdr:rowOff>
    </xdr:from>
    <xdr:to>
      <xdr:col>15</xdr:col>
      <xdr:colOff>462915</xdr:colOff>
      <xdr:row>22</xdr:row>
      <xdr:rowOff>97790</xdr:rowOff>
    </xdr:to>
    <xdr:graphicFrame>
      <xdr:nvGraphicFramePr>
        <xdr:cNvPr id="2" name="Chart 1"/>
        <xdr:cNvGraphicFramePr/>
      </xdr:nvGraphicFramePr>
      <xdr:xfrm>
        <a:off x="6065520" y="537210"/>
        <a:ext cx="6120765" cy="361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6" sqref="C6"/>
    </sheetView>
  </sheetViews>
  <sheetFormatPr defaultColWidth="9" defaultRowHeight="14.5"/>
  <cols>
    <col min="1" max="1" width="20.5727272727273" customWidth="1"/>
    <col min="2" max="2" width="15.2818181818182" customWidth="1"/>
  </cols>
  <sheetData>
    <row r="1" spans="1:2">
      <c r="A1" s="2" t="s">
        <v>0</v>
      </c>
      <c r="B1" s="2"/>
    </row>
    <row r="2" spans="1:2">
      <c r="A2" s="2"/>
      <c r="B2" s="2"/>
    </row>
    <row r="3" spans="1:2">
      <c r="A3" s="3" t="s">
        <v>1</v>
      </c>
      <c r="B3">
        <v>20813918.43</v>
      </c>
    </row>
    <row r="4" spans="1:2">
      <c r="A4" s="3" t="s">
        <v>2</v>
      </c>
      <c r="B4">
        <v>45336</v>
      </c>
    </row>
    <row r="5" spans="1:2">
      <c r="A5" s="3" t="s">
        <v>3</v>
      </c>
      <c r="B5" s="9">
        <f>ROUND(B3/B4,2)</f>
        <v>459.1</v>
      </c>
    </row>
    <row r="6" spans="1:2">
      <c r="A6" s="3" t="s">
        <v>4</v>
      </c>
      <c r="B6">
        <v>1047877</v>
      </c>
    </row>
    <row r="8" spans="1:5">
      <c r="A8" s="7" t="s">
        <v>5</v>
      </c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6">
      <c r="A10" s="3" t="s">
        <v>1</v>
      </c>
      <c r="B10" s="10" t="s">
        <v>6</v>
      </c>
      <c r="C10" s="8"/>
      <c r="D10" s="8"/>
      <c r="E10" s="8"/>
      <c r="F10" s="8"/>
    </row>
    <row r="11" spans="1:2">
      <c r="A11" s="3" t="s">
        <v>2</v>
      </c>
      <c r="B11" s="11" t="s">
        <v>7</v>
      </c>
    </row>
    <row r="12" spans="1:2">
      <c r="A12" s="3" t="s">
        <v>3</v>
      </c>
      <c r="B12" s="12" t="s">
        <v>8</v>
      </c>
    </row>
    <row r="13" spans="1:2">
      <c r="A13" s="13" t="s">
        <v>9</v>
      </c>
      <c r="B13" s="12" t="s">
        <v>10</v>
      </c>
    </row>
    <row r="16" spans="9:9">
      <c r="I16" s="10"/>
    </row>
  </sheetData>
  <mergeCells count="2">
    <mergeCell ref="A1:B2"/>
    <mergeCell ref="A8:E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C11" sqref="C11"/>
    </sheetView>
  </sheetViews>
  <sheetFormatPr defaultColWidth="9" defaultRowHeight="14.5" outlineLevelCol="1"/>
  <cols>
    <col min="1" max="1" width="31.8545454545455" customWidth="1"/>
    <col min="2" max="2" width="10.8545454545455" customWidth="1"/>
  </cols>
  <sheetData>
    <row r="1" spans="1:2">
      <c r="A1" s="2" t="s">
        <v>11</v>
      </c>
      <c r="B1" s="2"/>
    </row>
    <row r="2" spans="1:2">
      <c r="A2" s="2"/>
      <c r="B2" s="2"/>
    </row>
    <row r="3" spans="1:2">
      <c r="A3" s="3" t="s">
        <v>12</v>
      </c>
      <c r="B3">
        <v>5881</v>
      </c>
    </row>
    <row r="4" spans="1:2">
      <c r="A4" s="3" t="s">
        <v>13</v>
      </c>
      <c r="B4">
        <v>4255</v>
      </c>
    </row>
    <row r="5" spans="1:2">
      <c r="A5" s="3" t="s">
        <v>14</v>
      </c>
      <c r="B5" s="6">
        <v>0.7235</v>
      </c>
    </row>
    <row r="8" spans="1:1">
      <c r="A8" s="7" t="s">
        <v>15</v>
      </c>
    </row>
    <row r="9" spans="1:1">
      <c r="A9" s="7"/>
    </row>
    <row r="10" ht="58" spans="1:1">
      <c r="A10" s="8" t="s">
        <v>16</v>
      </c>
    </row>
  </sheetData>
  <mergeCells count="2">
    <mergeCell ref="A8:A9"/>
    <mergeCell ref="A1:B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15" sqref="C15"/>
    </sheetView>
  </sheetViews>
  <sheetFormatPr defaultColWidth="9" defaultRowHeight="14.5" outlineLevelCol="3"/>
  <cols>
    <col min="1" max="1" width="11.7090909090909" customWidth="1"/>
    <col min="2" max="2" width="30.8545454545455" customWidth="1"/>
    <col min="3" max="3" width="16.4272727272727" style="1" customWidth="1"/>
    <col min="4" max="4" width="14" customWidth="1"/>
  </cols>
  <sheetData>
    <row r="1" spans="1:4">
      <c r="A1" s="2" t="s">
        <v>17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3" t="s">
        <v>18</v>
      </c>
      <c r="B3" s="3" t="s">
        <v>19</v>
      </c>
      <c r="C3" s="4" t="s">
        <v>1</v>
      </c>
      <c r="D3" s="3" t="s">
        <v>20</v>
      </c>
    </row>
    <row r="4" spans="1:4">
      <c r="A4" s="5">
        <v>22423</v>
      </c>
      <c r="B4" t="s">
        <v>21</v>
      </c>
      <c r="C4" s="1">
        <v>344563.25</v>
      </c>
      <c r="D4">
        <v>27232</v>
      </c>
    </row>
    <row r="5" spans="1:4">
      <c r="A5" s="5" t="s">
        <v>22</v>
      </c>
      <c r="B5" t="s">
        <v>23</v>
      </c>
      <c r="C5" s="1">
        <v>340716.28</v>
      </c>
      <c r="D5">
        <v>10057</v>
      </c>
    </row>
    <row r="6" spans="1:4">
      <c r="A6" s="5" t="s">
        <v>24</v>
      </c>
      <c r="B6" t="s">
        <v>25</v>
      </c>
      <c r="C6" s="1">
        <v>322657.48</v>
      </c>
      <c r="D6">
        <v>2941</v>
      </c>
    </row>
    <row r="7" spans="1:4">
      <c r="A7" s="5" t="s">
        <v>26</v>
      </c>
      <c r="B7" t="s">
        <v>27</v>
      </c>
      <c r="C7" s="1">
        <v>263109.67</v>
      </c>
      <c r="D7">
        <v>99704</v>
      </c>
    </row>
    <row r="8" spans="1:4">
      <c r="A8" s="5" t="s">
        <v>28</v>
      </c>
      <c r="B8" t="s">
        <v>29</v>
      </c>
      <c r="C8" s="1">
        <v>183454.83</v>
      </c>
      <c r="D8">
        <v>96956</v>
      </c>
    </row>
    <row r="9" spans="1:4">
      <c r="A9" s="5">
        <v>23843</v>
      </c>
      <c r="B9" t="s">
        <v>30</v>
      </c>
      <c r="C9" s="1">
        <v>168469.6</v>
      </c>
      <c r="D9">
        <v>80995</v>
      </c>
    </row>
    <row r="10" spans="1:4">
      <c r="A10" s="5">
        <v>47566</v>
      </c>
      <c r="B10" t="s">
        <v>31</v>
      </c>
      <c r="C10" s="1">
        <v>149187.05</v>
      </c>
      <c r="D10">
        <v>27576</v>
      </c>
    </row>
    <row r="11" spans="1:4">
      <c r="A11" s="5">
        <v>84879</v>
      </c>
      <c r="B11" t="s">
        <v>32</v>
      </c>
      <c r="C11" s="1">
        <v>132187.92</v>
      </c>
      <c r="D11">
        <v>81216</v>
      </c>
    </row>
    <row r="12" spans="1:4">
      <c r="A12" s="5" t="s">
        <v>33</v>
      </c>
      <c r="B12" t="s">
        <v>34</v>
      </c>
      <c r="C12" s="1">
        <v>127597.42</v>
      </c>
      <c r="D12">
        <v>10411</v>
      </c>
    </row>
    <row r="13" spans="1:4">
      <c r="A13" s="5">
        <v>22086</v>
      </c>
      <c r="B13" t="s">
        <v>35</v>
      </c>
      <c r="C13" s="1">
        <v>123141.54</v>
      </c>
      <c r="D13">
        <v>36521</v>
      </c>
    </row>
  </sheetData>
  <mergeCells count="1">
    <mergeCell ref="A1:D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C3" workbookViewId="0">
      <selection activeCell="Q15" sqref="Q15"/>
    </sheetView>
  </sheetViews>
  <sheetFormatPr defaultColWidth="9" defaultRowHeight="14.5" outlineLevelCol="4"/>
  <cols>
    <col min="1" max="1" width="14.1363636363636" customWidth="1"/>
    <col min="2" max="2" width="13.1363636363636" style="1" customWidth="1"/>
    <col min="3" max="3" width="15.4272727272727" style="1" customWidth="1"/>
    <col min="4" max="4" width="14.8545454545455" style="1" customWidth="1"/>
    <col min="5" max="5" width="20.2818181818182" style="1" customWidth="1"/>
  </cols>
  <sheetData>
    <row r="1" spans="1:5">
      <c r="A1" s="2" t="s">
        <v>36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37</v>
      </c>
      <c r="B3" s="4" t="s">
        <v>38</v>
      </c>
      <c r="C3" s="4" t="s">
        <v>39</v>
      </c>
      <c r="D3" s="4" t="s">
        <v>40</v>
      </c>
      <c r="E3" s="4" t="s">
        <v>41</v>
      </c>
    </row>
    <row r="4" spans="1:2">
      <c r="A4" t="s">
        <v>42</v>
      </c>
      <c r="B4" s="1">
        <v>825685.76</v>
      </c>
    </row>
    <row r="5" spans="1:5">
      <c r="A5" t="s">
        <v>43</v>
      </c>
      <c r="B5" s="1">
        <v>652708.5</v>
      </c>
      <c r="C5" s="1">
        <v>825685.76</v>
      </c>
      <c r="D5" s="1">
        <v>-172977.26</v>
      </c>
      <c r="E5" s="1">
        <v>-20.95</v>
      </c>
    </row>
    <row r="6" spans="1:5">
      <c r="A6" t="s">
        <v>44</v>
      </c>
      <c r="B6" s="1">
        <v>553339.74</v>
      </c>
      <c r="C6" s="1">
        <v>652708.5</v>
      </c>
      <c r="D6" s="1">
        <v>-99368.76</v>
      </c>
      <c r="E6" s="1">
        <v>-15.22</v>
      </c>
    </row>
    <row r="7" spans="1:5">
      <c r="A7" t="s">
        <v>45</v>
      </c>
      <c r="B7" s="1">
        <v>833570.13</v>
      </c>
      <c r="C7" s="1">
        <v>553339.74</v>
      </c>
      <c r="D7" s="1">
        <v>280230.39</v>
      </c>
      <c r="E7" s="1">
        <v>50.64</v>
      </c>
    </row>
    <row r="8" spans="1:5">
      <c r="A8" t="s">
        <v>46</v>
      </c>
      <c r="B8" s="1">
        <v>627934.63</v>
      </c>
      <c r="C8" s="1">
        <v>833570.13</v>
      </c>
      <c r="D8" s="1">
        <v>-205635.5</v>
      </c>
      <c r="E8" s="1">
        <v>-24.67</v>
      </c>
    </row>
    <row r="9" spans="1:5">
      <c r="A9" t="s">
        <v>47</v>
      </c>
      <c r="B9" s="1">
        <v>659858.86</v>
      </c>
      <c r="C9" s="1">
        <v>627934.63</v>
      </c>
      <c r="D9" s="1">
        <v>31924.23</v>
      </c>
      <c r="E9" s="1">
        <v>5.08</v>
      </c>
    </row>
    <row r="10" spans="1:5">
      <c r="A10" t="s">
        <v>48</v>
      </c>
      <c r="B10" s="1">
        <v>752270.14</v>
      </c>
      <c r="C10" s="1">
        <v>659858.86</v>
      </c>
      <c r="D10" s="1">
        <v>92411.28</v>
      </c>
      <c r="E10" s="1">
        <v>14</v>
      </c>
    </row>
    <row r="11" spans="1:5">
      <c r="A11" t="s">
        <v>49</v>
      </c>
      <c r="B11" s="1">
        <v>606681.15</v>
      </c>
      <c r="C11" s="1">
        <v>752270.14</v>
      </c>
      <c r="D11" s="1">
        <v>-145588.99</v>
      </c>
      <c r="E11" s="1">
        <v>-19.35</v>
      </c>
    </row>
    <row r="12" spans="1:5">
      <c r="A12" t="s">
        <v>50</v>
      </c>
      <c r="B12" s="1">
        <v>697274.91</v>
      </c>
      <c r="C12" s="1">
        <v>606681.15</v>
      </c>
      <c r="D12" s="1">
        <v>90593.76</v>
      </c>
      <c r="E12" s="1">
        <v>14.93</v>
      </c>
    </row>
    <row r="13" spans="1:5">
      <c r="A13" t="s">
        <v>51</v>
      </c>
      <c r="B13" s="1">
        <v>924333.01</v>
      </c>
      <c r="C13" s="1">
        <v>697274.91</v>
      </c>
      <c r="D13" s="1">
        <v>227058.1</v>
      </c>
      <c r="E13" s="1">
        <v>32.56</v>
      </c>
    </row>
    <row r="14" spans="1:5">
      <c r="A14" t="s">
        <v>52</v>
      </c>
      <c r="B14" s="1">
        <v>1126558.04</v>
      </c>
      <c r="C14" s="1">
        <v>924333.01</v>
      </c>
      <c r="D14" s="1">
        <v>202225.03</v>
      </c>
      <c r="E14" s="1">
        <v>21.88</v>
      </c>
    </row>
    <row r="15" spans="1:5">
      <c r="A15" t="s">
        <v>53</v>
      </c>
      <c r="B15" s="1">
        <v>1470272.48</v>
      </c>
      <c r="C15" s="1">
        <v>1126558.04</v>
      </c>
      <c r="D15" s="1">
        <v>343714.44</v>
      </c>
      <c r="E15" s="1">
        <v>30.51</v>
      </c>
    </row>
    <row r="16" spans="1:5">
      <c r="A16" t="s">
        <v>54</v>
      </c>
      <c r="B16" s="1">
        <v>1262598.79</v>
      </c>
      <c r="C16" s="1">
        <v>1470272.48</v>
      </c>
      <c r="D16" s="1">
        <v>-207673.69</v>
      </c>
      <c r="E16" s="1">
        <v>-14.12</v>
      </c>
    </row>
    <row r="17" spans="1:5">
      <c r="A17" t="s">
        <v>55</v>
      </c>
      <c r="B17" s="1">
        <v>691364.56</v>
      </c>
      <c r="C17" s="1">
        <v>1262598.79</v>
      </c>
      <c r="D17" s="1">
        <v>-571234.23</v>
      </c>
      <c r="E17" s="1">
        <v>-45.24</v>
      </c>
    </row>
    <row r="18" spans="1:5">
      <c r="A18" t="s">
        <v>56</v>
      </c>
      <c r="B18" s="1">
        <v>523631.89</v>
      </c>
      <c r="C18" s="1">
        <v>691364.56</v>
      </c>
      <c r="D18" s="1">
        <v>-167732.67</v>
      </c>
      <c r="E18" s="1">
        <v>-24.26</v>
      </c>
    </row>
    <row r="19" spans="1:5">
      <c r="A19" t="s">
        <v>57</v>
      </c>
      <c r="B19" s="1">
        <v>717639.36</v>
      </c>
      <c r="C19" s="1">
        <v>523631.89</v>
      </c>
      <c r="D19" s="1">
        <v>194007.47</v>
      </c>
      <c r="E19" s="1">
        <v>37.05</v>
      </c>
    </row>
    <row r="20" spans="1:5">
      <c r="A20" t="s">
        <v>58</v>
      </c>
      <c r="B20" s="1">
        <v>537808.62</v>
      </c>
      <c r="C20" s="1">
        <v>717639.36</v>
      </c>
      <c r="D20" s="1">
        <v>-179830.74</v>
      </c>
      <c r="E20" s="1">
        <v>-25.06</v>
      </c>
    </row>
    <row r="21" spans="1:5">
      <c r="A21" t="s">
        <v>59</v>
      </c>
      <c r="B21" s="1">
        <v>770536.02</v>
      </c>
      <c r="C21" s="1">
        <v>537808.62</v>
      </c>
      <c r="D21" s="1">
        <v>232727.4</v>
      </c>
      <c r="E21" s="1">
        <v>43.27</v>
      </c>
    </row>
    <row r="22" spans="1:5">
      <c r="A22" t="s">
        <v>60</v>
      </c>
      <c r="B22" s="1">
        <v>761739.9</v>
      </c>
      <c r="C22" s="1">
        <v>770536.02</v>
      </c>
      <c r="D22" s="1">
        <v>-8796.12</v>
      </c>
      <c r="E22" s="1">
        <v>-1.14</v>
      </c>
    </row>
    <row r="23" spans="1:5">
      <c r="A23" t="s">
        <v>61</v>
      </c>
      <c r="B23" s="1">
        <v>719221.19</v>
      </c>
      <c r="C23" s="1">
        <v>761739.9</v>
      </c>
      <c r="D23" s="1">
        <v>-42518.71</v>
      </c>
      <c r="E23" s="1">
        <v>-5.58</v>
      </c>
    </row>
    <row r="24" spans="1:5">
      <c r="A24" t="s">
        <v>62</v>
      </c>
      <c r="B24" s="1">
        <v>737014.26</v>
      </c>
      <c r="C24" s="1">
        <v>719221.19</v>
      </c>
      <c r="D24" s="1">
        <v>17793.07</v>
      </c>
      <c r="E24" s="1">
        <v>2.47</v>
      </c>
    </row>
    <row r="25" spans="1:5">
      <c r="A25" t="s">
        <v>63</v>
      </c>
      <c r="B25" s="1">
        <v>1058590.17</v>
      </c>
      <c r="C25" s="1">
        <v>737014.26</v>
      </c>
      <c r="D25" s="1">
        <v>321575.91</v>
      </c>
      <c r="E25" s="1">
        <v>43.63</v>
      </c>
    </row>
    <row r="26" spans="1:5">
      <c r="A26" t="s">
        <v>64</v>
      </c>
      <c r="B26" s="1">
        <v>1154979.3</v>
      </c>
      <c r="C26" s="1">
        <v>1058590.17</v>
      </c>
      <c r="D26" s="1">
        <v>96389.13</v>
      </c>
      <c r="E26" s="1">
        <v>9.11</v>
      </c>
    </row>
    <row r="27" spans="1:5">
      <c r="A27" t="s">
        <v>65</v>
      </c>
      <c r="B27" s="1">
        <v>1509496.33</v>
      </c>
      <c r="C27" s="1">
        <v>1154979.3</v>
      </c>
      <c r="D27" s="1">
        <v>354517.03</v>
      </c>
      <c r="E27" s="1">
        <v>30.69</v>
      </c>
    </row>
    <row r="28" spans="1:5">
      <c r="A28" t="s">
        <v>66</v>
      </c>
      <c r="B28" s="1">
        <v>638810.68</v>
      </c>
      <c r="C28" s="1">
        <v>1509496.33</v>
      </c>
      <c r="D28" s="1">
        <v>-870685.65</v>
      </c>
      <c r="E28" s="1">
        <v>-57.68</v>
      </c>
    </row>
  </sheetData>
  <mergeCells count="1">
    <mergeCell ref="A1:E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KPI Summary</vt:lpstr>
      <vt:lpstr>Repeat Rate</vt:lpstr>
      <vt:lpstr>Top Products </vt:lpstr>
      <vt:lpstr>Monthly 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2026-10-27T12:10:00Z</dcterms:created>
  <dcterms:modified xsi:type="dcterms:W3CDTF">2026-10-28T08:09:09Z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25AEB959FA504A81A0FBA1B9CD8201FE_12</vt:lpwstr>
  </property>
  <property fmtid="{D5CDD505-2E9C-101B-9397-08002B2CF9AE}" pid="3" name="KSOProductBuildVer">
    <vt:lpwstr>2057-12.2.0.23206</vt:lpwstr>
  </property>
</Properties>
</file>