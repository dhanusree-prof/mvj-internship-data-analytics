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299515C4-020E-4053-A19F-5726D5DB4776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What_If_Model" sheetId="1" r:id="rId1"/>
    <sheet name="What_If_Analy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" i="2" l="1"/>
  <c r="E25" i="2"/>
  <c r="E23" i="2"/>
  <c r="B16" i="2"/>
  <c r="C16" i="2"/>
  <c r="D16" i="2"/>
  <c r="E16" i="2"/>
  <c r="B17" i="2"/>
  <c r="C17" i="2"/>
  <c r="D17" i="2"/>
  <c r="E17" i="2"/>
  <c r="B18" i="2"/>
  <c r="C18" i="2"/>
  <c r="D18" i="2"/>
  <c r="E18" i="2"/>
  <c r="C15" i="2"/>
  <c r="D15" i="2"/>
  <c r="E15" i="2"/>
  <c r="B15" i="2"/>
  <c r="B6" i="2"/>
  <c r="B5" i="2"/>
  <c r="B4" i="2"/>
  <c r="B3" i="2"/>
  <c r="B6" i="1"/>
  <c r="B8" i="1" s="1"/>
  <c r="B10" i="2" l="1"/>
  <c r="B8" i="2"/>
  <c r="B9" i="2" s="1"/>
</calcChain>
</file>

<file path=xl/sharedStrings.xml><?xml version="1.0" encoding="utf-8"?>
<sst xmlns="http://schemas.openxmlformats.org/spreadsheetml/2006/main" count="25" uniqueCount="22">
  <si>
    <t>Coffee Shop Revenue What-If Model</t>
  </si>
  <si>
    <t>Selling Price per Customer</t>
  </si>
  <si>
    <t>Customer Footfall per Day</t>
  </si>
  <si>
    <t>Operating Days per Month</t>
  </si>
  <si>
    <t>Expected Monthly Revenue</t>
  </si>
  <si>
    <t>Monthly Revenue Target</t>
  </si>
  <si>
    <t>Difference from Target</t>
  </si>
  <si>
    <t>Goal Seek Analysis</t>
  </si>
  <si>
    <t>Selling Price</t>
  </si>
  <si>
    <t>Daily Footfall</t>
  </si>
  <si>
    <t>Operating Days</t>
  </si>
  <si>
    <t>Required Daily Footfall</t>
  </si>
  <si>
    <t>Required Whole Customers per Day</t>
  </si>
  <si>
    <t>Required Price at Current Footfall</t>
  </si>
  <si>
    <t>Monthly Revenue by Price and Footfall</t>
  </si>
  <si>
    <t>Price / Footfall</t>
  </si>
  <si>
    <t>Scenario Analysis</t>
  </si>
  <si>
    <t xml:space="preserve">Scenario </t>
  </si>
  <si>
    <t>Price</t>
  </si>
  <si>
    <t>Low Footfall</t>
  </si>
  <si>
    <t>Normal</t>
  </si>
  <si>
    <t>High Footfall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</si>
</sst>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sqref="A1:C2"/>
    </sheetView>
  </sheetViews>
  <sheetFormatPr defaultRowHeight="15"/>
  <cols>
    <col min="1" max="1" width="21" customWidth="1"/>
  </cols>
  <sheetData>
    <row r="1" spans="1:3">
      <c r="A1" s="2" t="s">
        <v>0</v>
      </c>
      <c r="B1" s="2"/>
      <c r="C1" s="2"/>
    </row>
    <row r="2" spans="1:3">
      <c r="A2" s="2"/>
      <c r="B2" s="2"/>
      <c r="C2" s="2"/>
    </row>
    <row r="3" spans="1:3" ht="30.75">
      <c r="A3" s="1" t="s">
        <v>1</v>
      </c>
      <c r="B3">
        <v>150</v>
      </c>
    </row>
    <row r="4" spans="1:3" ht="45.75">
      <c r="A4" s="1" t="s">
        <v>2</v>
      </c>
      <c r="B4">
        <v>80</v>
      </c>
    </row>
    <row r="5" spans="1:3" ht="60.75">
      <c r="A5" s="1" t="s">
        <v>3</v>
      </c>
      <c r="B5">
        <v>30</v>
      </c>
    </row>
    <row r="6" spans="1:3" ht="45.75">
      <c r="A6" s="1" t="s">
        <v>4</v>
      </c>
      <c r="B6">
        <f>B3*B4*B5</f>
        <v>360000</v>
      </c>
    </row>
    <row r="7" spans="1:3" ht="45.75">
      <c r="A7" s="1" t="s">
        <v>5</v>
      </c>
      <c r="B7">
        <v>450000</v>
      </c>
    </row>
    <row r="8" spans="1:3" ht="45.75">
      <c r="A8" s="1" t="s">
        <v>6</v>
      </c>
      <c r="B8">
        <f>B6-B7</f>
        <v>-90000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A8CF-AB20-47AB-8D78-E06189C82D31}">
  <dimension ref="A1:E25"/>
  <sheetViews>
    <sheetView tabSelected="1" workbookViewId="0">
      <selection activeCell="C9" sqref="C9"/>
    </sheetView>
  </sheetViews>
  <sheetFormatPr defaultRowHeight="15"/>
  <cols>
    <col min="1" max="1" width="18.28515625" customWidth="1"/>
    <col min="3" max="3" width="9" customWidth="1"/>
    <col min="4" max="4" width="10.42578125" customWidth="1"/>
  </cols>
  <sheetData>
    <row r="1" spans="1:5">
      <c r="A1" s="2" t="s">
        <v>7</v>
      </c>
      <c r="B1" s="2"/>
    </row>
    <row r="2" spans="1:5">
      <c r="A2" s="2"/>
      <c r="B2" s="2"/>
    </row>
    <row r="3" spans="1:5" ht="30.75">
      <c r="A3" s="1" t="s">
        <v>5</v>
      </c>
      <c r="B3">
        <f>What_If_Model!B7</f>
        <v>450000</v>
      </c>
    </row>
    <row r="4" spans="1:5">
      <c r="A4" s="1" t="s">
        <v>8</v>
      </c>
      <c r="B4">
        <f>What_If_Model!B3</f>
        <v>150</v>
      </c>
    </row>
    <row r="5" spans="1:5">
      <c r="A5" s="1" t="s">
        <v>9</v>
      </c>
      <c r="B5">
        <f>What_If_Model!B4</f>
        <v>80</v>
      </c>
    </row>
    <row r="6" spans="1:5">
      <c r="A6" s="1" t="s">
        <v>10</v>
      </c>
      <c r="B6">
        <f>What_If_Model!B5</f>
        <v>30</v>
      </c>
    </row>
    <row r="7" spans="1:5">
      <c r="A7" s="1"/>
    </row>
    <row r="8" spans="1:5" ht="30.75">
      <c r="A8" s="1" t="s">
        <v>11</v>
      </c>
      <c r="B8">
        <f>B3/(B4*B6)</f>
        <v>100</v>
      </c>
    </row>
    <row r="9" spans="1:5" ht="30.75">
      <c r="A9" s="1" t="s">
        <v>12</v>
      </c>
      <c r="B9">
        <f>ROUNDUP(B8,0)</f>
        <v>100</v>
      </c>
    </row>
    <row r="10" spans="1:5" ht="30.75">
      <c r="A10" s="1" t="s">
        <v>13</v>
      </c>
      <c r="B10">
        <f>B3/(B5*B6)</f>
        <v>187.5</v>
      </c>
    </row>
    <row r="12" spans="1:5">
      <c r="A12" s="2" t="s">
        <v>14</v>
      </c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3" t="s">
        <v>15</v>
      </c>
      <c r="B14" s="3">
        <v>60</v>
      </c>
      <c r="C14" s="3">
        <v>80</v>
      </c>
      <c r="D14" s="3">
        <v>100</v>
      </c>
      <c r="E14" s="3">
        <v>120</v>
      </c>
    </row>
    <row r="15" spans="1:5">
      <c r="A15" s="3">
        <v>125</v>
      </c>
      <c r="B15">
        <f>$A15*B$14*What_If_Model!$B$5</f>
        <v>225000</v>
      </c>
      <c r="C15">
        <f>$A15*C$14*What_If_Model!$B$5</f>
        <v>300000</v>
      </c>
      <c r="D15">
        <f>$A15*D$14*What_If_Model!$B$5</f>
        <v>375000</v>
      </c>
      <c r="E15">
        <f>$A15*E$14*What_If_Model!$B$5</f>
        <v>450000</v>
      </c>
    </row>
    <row r="16" spans="1:5">
      <c r="A16" s="3">
        <v>150</v>
      </c>
      <c r="B16">
        <f>$A16*B$14*What_If_Model!$B$5</f>
        <v>270000</v>
      </c>
      <c r="C16">
        <f>$A16*C$14*What_If_Model!$B$5</f>
        <v>360000</v>
      </c>
      <c r="D16">
        <f>$A16*D$14*What_If_Model!$B$5</f>
        <v>450000</v>
      </c>
      <c r="E16">
        <f>$A16*E$14*What_If_Model!$B$5</f>
        <v>540000</v>
      </c>
    </row>
    <row r="17" spans="1:5">
      <c r="A17" s="3">
        <v>175</v>
      </c>
      <c r="B17">
        <f>$A17*B$14*What_If_Model!$B$5</f>
        <v>315000</v>
      </c>
      <c r="C17">
        <f>$A17*C$14*What_If_Model!$B$5</f>
        <v>420000</v>
      </c>
      <c r="D17">
        <f>$A17*D$14*What_If_Model!$B$5</f>
        <v>525000</v>
      </c>
      <c r="E17">
        <f>$A17*E$14*What_If_Model!$B$5</f>
        <v>630000</v>
      </c>
    </row>
    <row r="18" spans="1:5">
      <c r="A18" s="3">
        <v>200</v>
      </c>
      <c r="B18">
        <f>$A18*B$14*What_If_Model!$B$5</f>
        <v>360000</v>
      </c>
      <c r="C18">
        <f>$A18*C$14*What_If_Model!$B$5</f>
        <v>480000</v>
      </c>
      <c r="D18">
        <f>$A18*D$14*What_If_Model!$B$5</f>
        <v>600000</v>
      </c>
      <c r="E18">
        <f>$A18*E$14*What_If_Model!$B$5</f>
        <v>720000</v>
      </c>
    </row>
    <row r="20" spans="1:5">
      <c r="A20" s="2" t="s">
        <v>16</v>
      </c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 ht="30.75">
      <c r="A22" s="4" t="s">
        <v>17</v>
      </c>
      <c r="B22" s="4" t="s">
        <v>18</v>
      </c>
      <c r="C22" s="4" t="s">
        <v>9</v>
      </c>
      <c r="D22" s="4" t="s">
        <v>10</v>
      </c>
      <c r="E22" s="4"/>
    </row>
    <row r="23" spans="1:5">
      <c r="A23" s="3" t="s">
        <v>19</v>
      </c>
      <c r="B23">
        <v>150</v>
      </c>
      <c r="C23">
        <v>60</v>
      </c>
      <c r="D23">
        <v>30</v>
      </c>
      <c r="E23">
        <f>B23*C23*D23</f>
        <v>270000</v>
      </c>
    </row>
    <row r="24" spans="1:5">
      <c r="A24" s="3" t="s">
        <v>20</v>
      </c>
      <c r="B24">
        <v>150</v>
      </c>
      <c r="C24">
        <v>80</v>
      </c>
      <c r="D24">
        <v>30</v>
      </c>
      <c r="E24">
        <f t="shared" ref="E24:E25" si="0">B24*C24*D24</f>
        <v>360000</v>
      </c>
    </row>
    <row r="25" spans="1:5">
      <c r="A25" s="3" t="s">
        <v>21</v>
      </c>
      <c r="B25">
        <v>150</v>
      </c>
      <c r="C25">
        <v>100</v>
      </c>
      <c r="D25">
        <v>30</v>
      </c>
      <c r="E25">
        <f t="shared" si="0"/>
        <v>450000</v>
      </c>
    </row>
  </sheetData>
  <mergeCells count="3">
    <mergeCell ref="A1:B2"/>
    <mergeCell ref="A12:E13"/>
    <mergeCell ref="A20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2026-10-24T03:32:09Z</dcterms:created>
  <dcterms:modified xsi:type="dcterms:W3CDTF">2026-10-24T04:35:31Z</dcterms:modified>
  <cp:category/>
  <cp:contentStatus/>
</cp:coreProperties>
</file>